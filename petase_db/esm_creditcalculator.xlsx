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stin/Desktop/2025/petase/"/>
    </mc:Choice>
  </mc:AlternateContent>
  <xr:revisionPtr revIDLastSave="0" documentId="13_ncr:1_{D7151708-379D-2D49-A0D8-0F5F35CC3D96}" xr6:coauthVersionLast="47" xr6:coauthVersionMax="47" xr10:uidLastSave="{00000000-0000-0000-0000-000000000000}"/>
  <bookViews>
    <workbookView xWindow="1900" yWindow="4980" windowWidth="25920" windowHeight="9060" xr2:uid="{FB3400AF-8544-9F42-8615-06B9BC519D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F2" i="1"/>
  <c r="D7" i="1"/>
  <c r="E7" i="1" s="1"/>
  <c r="C7" i="1"/>
  <c r="D5" i="1"/>
  <c r="E5" i="1"/>
  <c r="D6" i="1"/>
  <c r="E6" i="1"/>
  <c r="D4" i="1"/>
  <c r="E4" i="1" s="1"/>
  <c r="E3" i="1"/>
</calcChain>
</file>

<file path=xl/sharedStrings.xml><?xml version="1.0" encoding="utf-8"?>
<sst xmlns="http://schemas.openxmlformats.org/spreadsheetml/2006/main" count="11" uniqueCount="11">
  <si>
    <t>code</t>
  </si>
  <si>
    <t>sequence length</t>
  </si>
  <si>
    <t>tokens consumed</t>
  </si>
  <si>
    <t>credits consumed</t>
  </si>
  <si>
    <t>logits</t>
  </si>
  <si>
    <t>pazy_pet.fasta</t>
  </si>
  <si>
    <t>IPR041127_structures.tsv</t>
  </si>
  <si>
    <t>#proteins</t>
  </si>
  <si>
    <t>petaseec_uniprot.fasta</t>
  </si>
  <si>
    <t>IPR041127_sequences.tsv</t>
  </si>
  <si>
    <t>rcsb_ec_petase 1 + 2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</si>
</sst>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AEB0-5078-704F-B0B0-0B2D69960B92}">
  <dimension ref="A1:F7"/>
  <sheetViews>
    <sheetView tabSelected="1" zoomScale="140" zoomScaleNormal="140" workbookViewId="0">
      <selection activeCell="A8" sqref="A1:XFD1048576"/>
    </sheetView>
  </sheetViews>
  <sheetFormatPr baseColWidth="10" defaultRowHeight="16" x14ac:dyDescent="0.2"/>
  <cols>
    <col min="1" max="1" width="21.5" customWidth="1"/>
    <col min="2" max="2" width="18.5" customWidth="1"/>
    <col min="3" max="3" width="16" customWidth="1"/>
    <col min="4" max="4" width="16.83203125" customWidth="1"/>
  </cols>
  <sheetData>
    <row r="1" spans="1:6" x14ac:dyDescent="0.2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/>
    </row>
    <row r="2" spans="1:6" x14ac:dyDescent="0.2">
      <c r="A2" s="1" t="s">
        <v>4</v>
      </c>
      <c r="C2">
        <v>500</v>
      </c>
      <c r="D2">
        <v>500</v>
      </c>
      <c r="E2">
        <v>0.05</v>
      </c>
      <c r="F2">
        <f>SUM(E2:E7)</f>
        <v>251.255</v>
      </c>
    </row>
    <row r="3" spans="1:6" x14ac:dyDescent="0.2">
      <c r="A3" s="1" t="s">
        <v>5</v>
      </c>
      <c r="B3">
        <v>167</v>
      </c>
      <c r="C3">
        <v>60734</v>
      </c>
      <c r="D3">
        <f>C3</f>
        <v>60734</v>
      </c>
      <c r="E3">
        <f>(E2/C2)*D3</f>
        <v>6.0734000000000004</v>
      </c>
    </row>
    <row r="4" spans="1:6" x14ac:dyDescent="0.2">
      <c r="A4" s="1" t="s">
        <v>6</v>
      </c>
      <c r="B4">
        <v>258</v>
      </c>
      <c r="C4">
        <v>64623</v>
      </c>
      <c r="D4">
        <f>C4</f>
        <v>64623</v>
      </c>
      <c r="E4">
        <f>(E3/C3)*D4</f>
        <v>6.4622999999999999</v>
      </c>
    </row>
    <row r="5" spans="1:6" x14ac:dyDescent="0.2">
      <c r="A5" s="1" t="s">
        <v>8</v>
      </c>
      <c r="B5">
        <v>322</v>
      </c>
      <c r="C5">
        <v>101009</v>
      </c>
      <c r="D5">
        <f t="shared" ref="D5:D7" si="0">C5</f>
        <v>101009</v>
      </c>
      <c r="E5">
        <f t="shared" ref="E5:E6" si="1">(E4/C4)*D5</f>
        <v>10.100900000000001</v>
      </c>
    </row>
    <row r="6" spans="1:6" x14ac:dyDescent="0.2">
      <c r="A6" s="1" t="s">
        <v>9</v>
      </c>
      <c r="B6">
        <v>6383</v>
      </c>
      <c r="C6">
        <v>2245122</v>
      </c>
      <c r="D6">
        <f t="shared" si="0"/>
        <v>2245122</v>
      </c>
      <c r="E6">
        <f t="shared" si="1"/>
        <v>224.51220000000001</v>
      </c>
    </row>
    <row r="7" spans="1:6" x14ac:dyDescent="0.2">
      <c r="A7" s="1" t="s">
        <v>10</v>
      </c>
      <c r="B7">
        <v>97</v>
      </c>
      <c r="C7">
        <f>21969+18593</f>
        <v>40562</v>
      </c>
      <c r="D7">
        <f t="shared" si="0"/>
        <v>40562</v>
      </c>
      <c r="E7">
        <f t="shared" ref="E7" si="2">(E6/C6)*D7</f>
        <v>4.0562000000000005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2025-09-23T01:23:43Z</dcterms:created>
  <dcterms:modified xsi:type="dcterms:W3CDTF">2025-09-23T02:19:00Z</dcterms:modified>
</cp:coreProperties>
</file>